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ropbox\GetSmarter\BSA Materials\M3\"/>
    </mc:Choice>
  </mc:AlternateContent>
  <bookViews>
    <workbookView xWindow="240" yWindow="6765" windowWidth="11340" windowHeight="6540"/>
  </bookViews>
  <sheets>
    <sheet name="CBA option 1" sheetId="1" r:id="rId1"/>
  </sheets>
  <calcPr calcId="152511" concurrentCalc="0"/>
</workbook>
</file>

<file path=xl/calcChain.xml><?xml version="1.0" encoding="utf-8"?>
<calcChain xmlns="http://schemas.openxmlformats.org/spreadsheetml/2006/main">
  <c r="E4" i="1" l="1"/>
  <c r="D4" i="1"/>
  <c r="C4" i="1"/>
  <c r="C12" i="1"/>
  <c r="E12" i="1"/>
  <c r="D12" i="1"/>
  <c r="B2" i="1"/>
  <c r="C3" i="1"/>
  <c r="C5" i="1"/>
  <c r="C6" i="1"/>
  <c r="C7" i="1"/>
  <c r="C8" i="1"/>
  <c r="C2" i="1"/>
  <c r="D3" i="1"/>
  <c r="D5" i="1"/>
  <c r="D6" i="1"/>
  <c r="D7" i="1"/>
  <c r="D8" i="1"/>
  <c r="D2" i="1"/>
  <c r="E3" i="1"/>
  <c r="E5" i="1"/>
  <c r="E6" i="1"/>
  <c r="E7" i="1"/>
  <c r="E8" i="1"/>
  <c r="E2" i="1"/>
  <c r="C13" i="1"/>
  <c r="C14" i="1"/>
  <c r="C15" i="1"/>
  <c r="C16" i="1"/>
  <c r="C10" i="1"/>
  <c r="D14" i="1"/>
  <c r="D15" i="1"/>
  <c r="D16" i="1"/>
  <c r="D10" i="1"/>
  <c r="E14" i="1"/>
  <c r="E15" i="1"/>
  <c r="E16" i="1"/>
  <c r="E10" i="1"/>
  <c r="B10" i="1"/>
</calcChain>
</file>

<file path=xl/sharedStrings.xml><?xml version="1.0" encoding="utf-8"?>
<sst xmlns="http://schemas.openxmlformats.org/spreadsheetml/2006/main" count="17" uniqueCount="17">
  <si>
    <t>#3 licence</t>
  </si>
  <si>
    <t>Benefits breakdown</t>
  </si>
  <si>
    <t>Costs breakdown</t>
  </si>
  <si>
    <t>ZAR-USD rate:</t>
  </si>
  <si>
    <t>#4 lost sales</t>
  </si>
  <si>
    <t>#6 first-line support</t>
  </si>
  <si>
    <t>#6 catalogue updates</t>
  </si>
  <si>
    <t>#8 abandoned cart</t>
  </si>
  <si>
    <t>#9 recon savings</t>
  </si>
  <si>
    <t>#10 +1% revenue, quicker shipping</t>
  </si>
  <si>
    <t>#11 debt collection salary</t>
  </si>
  <si>
    <t>#11 debt collection phone</t>
  </si>
  <si>
    <t>#12 wrong address</t>
  </si>
  <si>
    <t>#13 +revenue, ease of use</t>
  </si>
  <si>
    <t>#1 project costs</t>
  </si>
  <si>
    <t>Option</t>
  </si>
  <si>
    <t>1: WebSiteShopify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</si>
</sst>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R&quot;* #,##0.00_-;\-&quot;R&quot;* #,##0.00_-;_-&quot;R&quot;* &quot;-&quot;??_-;_-@_-"/>
    <numFmt numFmtId="43" formatCode="_-* #,##0.00_-;\-* #,##0.00_-;_-* &quot;-&quot;??_-;_-@_-"/>
    <numFmt numFmtId="164" formatCode="#,##0;[Red]\-#,##0;_-* &quot;-&quot;??_-;_-@_-"/>
  </numFmts>
  <fonts count="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sz val="10"/>
      <color theme="1" tint="0.34998626667073579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/>
    </xf>
    <xf numFmtId="164" fontId="0" fillId="0" borderId="1" xfId="1" applyNumberFormat="1" applyFont="1" applyFill="1" applyBorder="1" applyAlignment="1">
      <alignment vertical="center"/>
    </xf>
    <xf numFmtId="164" fontId="2" fillId="0" borderId="1" xfId="1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1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6" fillId="0" borderId="0" xfId="0" applyFont="1" applyFill="1" applyAlignment="1">
      <alignment vertical="center"/>
    </xf>
    <xf numFmtId="44" fontId="6" fillId="0" borderId="0" xfId="2" applyFont="1" applyFill="1" applyAlignment="1">
      <alignment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6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8"/>
  <sheetViews>
    <sheetView tabSelected="1" zoomScaleNormal="100" workbookViewId="0"/>
  </sheetViews>
  <sheetFormatPr defaultRowHeight="12.75" x14ac:dyDescent="0.2"/>
  <cols>
    <col min="1" max="1" width="35.28515625" style="4" customWidth="1"/>
    <col min="2" max="5" width="9.28515625" style="4" customWidth="1"/>
    <col min="6" max="16384" width="9.140625" style="1"/>
  </cols>
  <sheetData>
    <row r="1" spans="1:5" x14ac:dyDescent="0.2">
      <c r="A1" s="5" t="s">
        <v>15</v>
      </c>
      <c r="B1" s="11" t="s">
        <v>16</v>
      </c>
      <c r="C1" s="12"/>
      <c r="D1" s="12"/>
    </row>
    <row r="2" spans="1:5" x14ac:dyDescent="0.2">
      <c r="A2" s="2" t="s">
        <v>1</v>
      </c>
      <c r="B2" s="7">
        <f>SUM(B3:B9)</f>
        <v>0</v>
      </c>
      <c r="C2" s="7">
        <f>SUM(C3:C9)</f>
        <v>437000</v>
      </c>
      <c r="D2" s="7">
        <f>SUM(D3:D9)</f>
        <v>516000</v>
      </c>
      <c r="E2" s="7">
        <f>SUM(E3:E9)</f>
        <v>516000</v>
      </c>
    </row>
    <row r="3" spans="1:5" x14ac:dyDescent="0.2">
      <c r="A3" s="8" t="s">
        <v>8</v>
      </c>
      <c r="B3" s="6"/>
      <c r="C3" s="6">
        <f>ROUND((135*365)*(9000/22/8/60*2)/1000,0)*1000</f>
        <v>84000</v>
      </c>
      <c r="D3" s="6">
        <f t="shared" ref="D3:E3" si="0">ROUND((135*365)*(9000/22/8/60*2)/1000,0)*1000</f>
        <v>84000</v>
      </c>
      <c r="E3" s="6">
        <f t="shared" si="0"/>
        <v>84000</v>
      </c>
    </row>
    <row r="4" spans="1:5" x14ac:dyDescent="0.2">
      <c r="A4" s="8" t="s">
        <v>9</v>
      </c>
      <c r="B4" s="6"/>
      <c r="C4" s="6">
        <f>ROUND(450000*0.01*9,-3)</f>
        <v>41000</v>
      </c>
      <c r="D4" s="6">
        <f>ROUND(450000*0.01*12,-3)</f>
        <v>54000</v>
      </c>
      <c r="E4" s="6">
        <f>ROUND(450000*0.01*12,-3)</f>
        <v>54000</v>
      </c>
    </row>
    <row r="5" spans="1:5" x14ac:dyDescent="0.2">
      <c r="A5" s="8" t="s">
        <v>10</v>
      </c>
      <c r="B5" s="6"/>
      <c r="C5" s="6">
        <f>9000*12</f>
        <v>108000</v>
      </c>
      <c r="D5" s="6">
        <f t="shared" ref="D5:E5" si="1">9000*12</f>
        <v>108000</v>
      </c>
      <c r="E5" s="6">
        <f t="shared" si="1"/>
        <v>108000</v>
      </c>
    </row>
    <row r="6" spans="1:5" x14ac:dyDescent="0.2">
      <c r="A6" s="8" t="s">
        <v>11</v>
      </c>
      <c r="B6" s="6"/>
      <c r="C6" s="6">
        <f>100*22*12*2.5</f>
        <v>66000</v>
      </c>
      <c r="D6" s="6">
        <f>100*22*12*2.5</f>
        <v>66000</v>
      </c>
      <c r="E6" s="6">
        <f>100*22*12*2.5</f>
        <v>66000</v>
      </c>
    </row>
    <row r="7" spans="1:5" x14ac:dyDescent="0.2">
      <c r="A7" s="8" t="s">
        <v>12</v>
      </c>
      <c r="B7" s="6"/>
      <c r="C7" s="6">
        <f>6000*12</f>
        <v>72000</v>
      </c>
      <c r="D7" s="6">
        <f>6000*12</f>
        <v>72000</v>
      </c>
      <c r="E7" s="6">
        <f>6000*12</f>
        <v>72000</v>
      </c>
    </row>
    <row r="8" spans="1:5" x14ac:dyDescent="0.2">
      <c r="A8" s="8" t="s">
        <v>13</v>
      </c>
      <c r="B8" s="6"/>
      <c r="C8" s="6">
        <f>11000*6</f>
        <v>66000</v>
      </c>
      <c r="D8" s="6">
        <f>11000*12</f>
        <v>132000</v>
      </c>
      <c r="E8" s="6">
        <f>11000*12</f>
        <v>132000</v>
      </c>
    </row>
    <row r="10" spans="1:5" x14ac:dyDescent="0.2">
      <c r="A10" s="2" t="s">
        <v>2</v>
      </c>
      <c r="B10" s="7">
        <f>SUM(B11:B16)</f>
        <v>248000</v>
      </c>
      <c r="C10" s="7">
        <f>SUM(C11:C16)</f>
        <v>234000</v>
      </c>
      <c r="D10" s="7">
        <f>SUM(D11:D16)</f>
        <v>232000</v>
      </c>
      <c r="E10" s="7">
        <f>SUM(E11:E16)</f>
        <v>232000</v>
      </c>
    </row>
    <row r="11" spans="1:5" x14ac:dyDescent="0.2">
      <c r="A11" s="8" t="s">
        <v>14</v>
      </c>
      <c r="B11" s="6">
        <v>248000</v>
      </c>
      <c r="C11" s="6"/>
      <c r="D11" s="6"/>
      <c r="E11" s="6"/>
    </row>
    <row r="12" spans="1:5" x14ac:dyDescent="0.2">
      <c r="A12" s="9" t="s">
        <v>0</v>
      </c>
      <c r="B12" s="6"/>
      <c r="C12" s="6">
        <f>ROUND((150+65)*12*$B$18/1000,0)*1000</f>
        <v>52000</v>
      </c>
      <c r="D12" s="6">
        <f>ROUND((150+65)*12*$B$18/1000,0)*1000</f>
        <v>52000</v>
      </c>
      <c r="E12" s="6">
        <f>ROUND((150+65)*12*$B$18/1000,0)*1000</f>
        <v>52000</v>
      </c>
    </row>
    <row r="13" spans="1:5" x14ac:dyDescent="0.2">
      <c r="A13" s="8" t="s">
        <v>4</v>
      </c>
      <c r="B13" s="6"/>
      <c r="C13" s="6">
        <f>ROUND(500*3/1000,0)*1000</f>
        <v>2000</v>
      </c>
      <c r="D13" s="6">
        <v>0</v>
      </c>
      <c r="E13" s="6">
        <v>0</v>
      </c>
    </row>
    <row r="14" spans="1:5" x14ac:dyDescent="0.2">
      <c r="A14" s="8" t="s">
        <v>5</v>
      </c>
      <c r="B14" s="6"/>
      <c r="C14" s="6">
        <f>6500*12</f>
        <v>78000</v>
      </c>
      <c r="D14" s="6">
        <f t="shared" ref="D14:E14" si="2">6500*12</f>
        <v>78000</v>
      </c>
      <c r="E14" s="6">
        <f t="shared" si="2"/>
        <v>78000</v>
      </c>
    </row>
    <row r="15" spans="1:5" x14ac:dyDescent="0.2">
      <c r="A15" s="8" t="s">
        <v>6</v>
      </c>
      <c r="B15" s="6"/>
      <c r="C15" s="6">
        <f>3500*12</f>
        <v>42000</v>
      </c>
      <c r="D15" s="6">
        <f t="shared" ref="D15:E15" si="3">3500*12</f>
        <v>42000</v>
      </c>
      <c r="E15" s="6">
        <f t="shared" si="3"/>
        <v>42000</v>
      </c>
    </row>
    <row r="16" spans="1:5" x14ac:dyDescent="0.2">
      <c r="A16" s="8" t="s">
        <v>7</v>
      </c>
      <c r="B16" s="6"/>
      <c r="C16" s="6">
        <f>5000*12</f>
        <v>60000</v>
      </c>
      <c r="D16" s="6">
        <f t="shared" ref="D16:E16" si="4">5000*12</f>
        <v>60000</v>
      </c>
      <c r="E16" s="6">
        <f t="shared" si="4"/>
        <v>60000</v>
      </c>
    </row>
    <row r="18" spans="1:5" s="3" customFormat="1" x14ac:dyDescent="0.2">
      <c r="A18" s="13" t="s">
        <v>3</v>
      </c>
      <c r="B18" s="14">
        <v>20</v>
      </c>
      <c r="C18" s="10"/>
      <c r="D18" s="10"/>
      <c r="E18" s="10"/>
    </row>
  </sheetData>
  <mergeCells count="1">
    <mergeCell ref="B1:D1"/>
  </mergeCells>
  <pageMargins left="0.75" right="0.75" top="1" bottom="1" header="0.5" footer="0.5"/>
  <pageSetup paperSize="9" scale="87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CBA option 1</vt:lpstr>
    </vt:vector>
  </TitlesOfParts>
  <Company>ProMentor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BSA M3 CBA option 1</dc:title>
  <dc:subject>UCT-GetSmarter BSA</dc:subject>
  <dc:creator>Brent Combrink</dc:creator>
  <cp:lastModifiedBy>Brent Combrink</cp:lastModifiedBy>
  <cp:lastPrinted>2001-08-25T09:41:40Z</cp:lastPrinted>
  <dcterms:created xsi:type="dcterms:W3CDTF">2001-08-25T09:16:14Z</dcterms:created>
  <dcterms:modified xsi:type="dcterms:W3CDTF">2022-08-24T15:40:06Z</dcterms:modified>
</cp:coreProperties>
</file>